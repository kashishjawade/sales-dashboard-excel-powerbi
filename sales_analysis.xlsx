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fcb2aa81a96feb/Documents/"/>
    </mc:Choice>
  </mc:AlternateContent>
  <xr:revisionPtr revIDLastSave="298" documentId="8_{68F82D61-34B2-443D-9882-A3FCFDA62724}" xr6:coauthVersionLast="47" xr6:coauthVersionMax="47" xr10:uidLastSave="{532A2B8F-5DDC-4FF3-80F7-8FC24505E1FD}"/>
  <bookViews>
    <workbookView xWindow="-108" yWindow="-108" windowWidth="23256" windowHeight="12456" activeTab="3" xr2:uid="{CA4511AD-5326-4A30-BD60-9D9B0504E1C5}"/>
  </bookViews>
  <sheets>
    <sheet name="Raw_data" sheetId="1" r:id="rId1"/>
    <sheet name="Cleaned_data" sheetId="2" r:id="rId2"/>
    <sheet name="Pivot_analysis" sheetId="3" r:id="rId3"/>
    <sheet name="Dashboard_data" sheetId="5" r:id="rId4"/>
  </sheets>
  <definedNames>
    <definedName name="_xlnm._FilterDatabase" localSheetId="0" hidden="1">Raw_data!$A$1:$H$6</definedName>
  </definedNames>
  <calcPr calcId="191029"/>
  <pivotCaches>
    <pivotCache cacheId="2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H5" i="2"/>
  <c r="H4" i="2"/>
  <c r="H3" i="2"/>
  <c r="H2" i="2"/>
  <c r="H3" i="1"/>
  <c r="H4" i="1"/>
  <c r="H5" i="1"/>
  <c r="H6" i="1"/>
  <c r="H2" i="1"/>
</calcChain>
</file>

<file path=xl/sharedStrings.xml><?xml version="1.0" encoding="utf-8"?>
<sst xmlns="http://schemas.openxmlformats.org/spreadsheetml/2006/main" count="68" uniqueCount="29">
  <si>
    <t>order_id</t>
  </si>
  <si>
    <t>order_date</t>
  </si>
  <si>
    <t>product</t>
  </si>
  <si>
    <t>category</t>
  </si>
  <si>
    <t>quantity</t>
  </si>
  <si>
    <t xml:space="preserve">price </t>
  </si>
  <si>
    <t>region</t>
  </si>
  <si>
    <t>Laptop</t>
  </si>
  <si>
    <t>Electronics</t>
  </si>
  <si>
    <t>North</t>
  </si>
  <si>
    <t>Phone</t>
  </si>
  <si>
    <t>Chair</t>
  </si>
  <si>
    <t>Table</t>
  </si>
  <si>
    <t>Headphones</t>
  </si>
  <si>
    <t>Furniture</t>
  </si>
  <si>
    <t>West</t>
  </si>
  <si>
    <t>South</t>
  </si>
  <si>
    <t>East</t>
  </si>
  <si>
    <t>Revenue</t>
  </si>
  <si>
    <t>Row Labels</t>
  </si>
  <si>
    <t>Grand Total</t>
  </si>
  <si>
    <t>Jan</t>
  </si>
  <si>
    <t>Feb</t>
  </si>
  <si>
    <t>Sum of Revenue</t>
  </si>
  <si>
    <t>DASHBOARDS</t>
  </si>
  <si>
    <t>2. PIE CHART</t>
  </si>
  <si>
    <r>
      <rPr>
        <b/>
        <sz val="11"/>
        <color theme="1"/>
        <rFont val="Aptos Narrow"/>
        <family val="2"/>
        <scheme val="minor"/>
      </rPr>
      <t>1.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COLUMN CHART</t>
    </r>
  </si>
  <si>
    <t>3. LINE CHART</t>
  </si>
  <si>
    <t>PIVOT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</si>
</sst>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Aptos Narrow"/>
      <family val="2"/>
      <scheme val="minor"/>
    </font>
    <font>
      <sz val="11"/>
      <color rgb="FF1F232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[sales_analysis.xlsx]Pivot_analysis!PivotTable1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Pivot_analysis!$A$8:$A$10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Pivot_analysis!$B$8:$B$10</c:f>
              <c:numCache>
                <c:formatCode>General</c:formatCode>
                <c:ptCount val="2"/>
                <c:pt idx="0">
                  <c:v>180000</c:v>
                </c:pt>
                <c:pt idx="1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2-4B9D-96CF-EF6093845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4756863"/>
        <c:axId val="664759263"/>
      </c:barChart>
      <c:catAx>
        <c:axId val="66475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759263"/>
        <c:crosses val="autoZero"/>
        <c:auto val="1"/>
        <c:lblAlgn val="ctr"/>
        <c:lblOffset val="100"/>
        <c:noMultiLvlLbl val="0"/>
      </c:catAx>
      <c:valAx>
        <c:axId val="66475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756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5B-4394-948F-2422879DFE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5B-4394-948F-2422879DFE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5B-4394-948F-2422879DFE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85B-4394-948F-2422879DFEA7}"/>
              </c:ext>
            </c:extLst>
          </c:dPt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15000</c:v>
              </c:pt>
              <c:pt idx="1">
                <c:v>120000</c:v>
              </c:pt>
              <c:pt idx="2">
                <c:v>20000</c:v>
              </c:pt>
              <c:pt idx="3">
                <c:v>60000</c:v>
              </c:pt>
            </c:numLit>
          </c:val>
          <c:extLst>
            <c:ext xmlns:c16="http://schemas.microsoft.com/office/drawing/2014/chart" uri="{C3380CC4-5D6E-409C-BE32-E72D297353CC}">
              <c16:uniqueId val="{00000008-085B-4394-948F-2422879DF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"/>
              <c:pt idx="0">
                <c:v>Jan</c:v>
              </c:pt>
              <c:pt idx="1">
                <c:v>Feb</c:v>
              </c:pt>
            </c:strLit>
          </c:cat>
          <c:val>
            <c:numLit>
              <c:formatCode>General</c:formatCode>
              <c:ptCount val="2"/>
              <c:pt idx="0">
                <c:v>190000</c:v>
              </c:pt>
              <c:pt idx="1">
                <c:v>25000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AAF-4F30-94BB-C46E5AD89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1082112"/>
        <c:axId val="1941098912"/>
      </c:lineChart>
      <c:catAx>
        <c:axId val="194108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098912"/>
        <c:crosses val="autoZero"/>
        <c:auto val="1"/>
        <c:lblAlgn val="ctr"/>
        <c:lblOffset val="100"/>
        <c:noMultiLvlLbl val="0"/>
      </c:catAx>
      <c:valAx>
        <c:axId val="194109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08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7</xdr:col>
      <xdr:colOff>53340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C49186-6AFC-4697-959E-3DB162CA7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16</xdr:col>
      <xdr:colOff>304800</xdr:colOff>
      <xdr:row>21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BE1E63-354C-4A16-9A7B-7A9DFB09C2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6</xdr:row>
      <xdr:rowOff>0</xdr:rowOff>
    </xdr:from>
    <xdr:to>
      <xdr:col>26</xdr:col>
      <xdr:colOff>329045</xdr:colOff>
      <xdr:row>21</xdr:row>
      <xdr:rowOff>15586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DCF78-1B48-43F0-8993-1C7BC06DE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40.027175578703" createdVersion="8" refreshedVersion="8" minRefreshableVersion="3" recordCount="5" xr:uid="{7A142CCE-54A9-454C-9C30-140F67F8F3BA}">
  <cacheSource type="worksheet">
    <worksheetSource ref="A1:H6" sheet="Cleaned_data"/>
  </cacheSource>
  <cacheFields count="10">
    <cacheField name="order_id" numFmtId="0">
      <sharedItems containsSemiMixedTypes="0" containsString="0" containsNumber="1" containsInteger="1" minValue="1001" maxValue="1005" count="5">
        <n v="1001"/>
        <n v="1002"/>
        <n v="1003"/>
        <n v="1004"/>
        <n v="1005"/>
      </sharedItems>
    </cacheField>
    <cacheField name="order_date" numFmtId="164">
      <sharedItems containsSemiMixedTypes="0" containsNonDate="0" containsDate="1" containsString="0" minDate="2023-01-05T00:00:00" maxDate="2023-02-04T00:00:00" count="5">
        <d v="2023-01-05T00:00:00"/>
        <d v="2023-01-06T00:00:00"/>
        <d v="2023-01-10T00:00:00"/>
        <d v="2023-02-01T00:00:00"/>
        <d v="2023-02-03T00:00:00"/>
      </sharedItems>
      <fieldGroup par="9"/>
    </cacheField>
    <cacheField name="product" numFmtId="0">
      <sharedItems count="5">
        <s v="Laptop"/>
        <s v="Phone"/>
        <s v="Chair"/>
        <s v="Table"/>
        <s v="Headphones"/>
      </sharedItems>
    </cacheField>
    <cacheField name="category" numFmtId="0">
      <sharedItems count="2">
        <s v="Electronics"/>
        <s v="Furniture"/>
      </sharedItems>
    </cacheField>
    <cacheField name="quantity" numFmtId="0">
      <sharedItems containsSemiMixedTypes="0" containsString="0" containsNumber="1" containsInteger="1" minValue="1" maxValue="5" count="5">
        <n v="2"/>
        <n v="3"/>
        <n v="4"/>
        <n v="1"/>
        <n v="5"/>
      </sharedItems>
    </cacheField>
    <cacheField name="price " numFmtId="0">
      <sharedItems containsSemiMixedTypes="0" containsString="0" containsNumber="1" containsInteger="1" minValue="2000" maxValue="55000"/>
    </cacheField>
    <cacheField name="region" numFmtId="0">
      <sharedItems count="4">
        <s v="North"/>
        <s v="West"/>
        <s v="South"/>
        <s v="East"/>
      </sharedItems>
    </cacheField>
    <cacheField name="Revenue" numFmtId="0">
      <sharedItems containsSemiMixedTypes="0" containsString="0" containsNumber="1" containsInteger="1" minValue="10000" maxValue="110000"/>
    </cacheField>
    <cacheField name="Months (order_date)" numFmtId="0" databaseField="0">
      <fieldGroup base="1">
        <rangePr groupBy="months" startDate="2023-01-05T00:00:00" endDate="2023-02-04T00:00:00"/>
        <groupItems count="14">
          <s v="&lt;05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-02-2023"/>
        </groupItems>
      </fieldGroup>
    </cacheField>
    <cacheField name="Years (order_date)" numFmtId="0" databaseField="0">
      <fieldGroup base="1">
        <rangePr groupBy="years" startDate="2023-01-05T00:00:00" endDate="2023-02-04T00:00:00"/>
        <groupItems count="3">
          <s v="&lt;05-01-2023"/>
          <s v="2023"/>
          <s v="&gt;04-02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42.831707870369" createdVersion="8" refreshedVersion="8" minRefreshableVersion="3" recordCount="5" xr:uid="{2D00095F-391B-454E-BF4B-3AB07A216280}">
  <cacheSource type="worksheet">
    <worksheetSource ref="A1:H6" sheet="Raw_data"/>
  </cacheSource>
  <cacheFields count="10">
    <cacheField name="order_id" numFmtId="0">
      <sharedItems containsSemiMixedTypes="0" containsString="0" containsNumber="1" containsInteger="1" minValue="1001" maxValue="1005"/>
    </cacheField>
    <cacheField name="order_date" numFmtId="164">
      <sharedItems containsSemiMixedTypes="0" containsNonDate="0" containsDate="1" containsString="0" minDate="2023-01-05T00:00:00" maxDate="2023-02-04T00:00:00" count="5">
        <d v="2023-01-05T00:00:00"/>
        <d v="2023-01-06T00:00:00"/>
        <d v="2023-01-10T00:00:00"/>
        <d v="2023-02-01T00:00:00"/>
        <d v="2023-02-03T00:00:00"/>
      </sharedItems>
      <fieldGroup par="9"/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price " numFmtId="0">
      <sharedItems containsSemiMixedTypes="0" containsString="0" containsNumber="1" containsInteger="1" minValue="2000" maxValue="55000"/>
    </cacheField>
    <cacheField name="region" numFmtId="0">
      <sharedItems/>
    </cacheField>
    <cacheField name="Revenue" numFmtId="0">
      <sharedItems containsSemiMixedTypes="0" containsString="0" containsNumber="1" containsInteger="1" minValue="10000" maxValue="110000"/>
    </cacheField>
    <cacheField name="Days (order_date)" numFmtId="0" databaseField="0">
      <fieldGroup base="1">
        <rangePr groupBy="days" startDate="2023-01-05T00:00:00" endDate="2023-02-04T00:00:00"/>
        <groupItems count="368">
          <s v="&lt;05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4-02-2023"/>
        </groupItems>
      </fieldGroup>
    </cacheField>
    <cacheField name="Months (order_date)" numFmtId="0" databaseField="0">
      <fieldGroup base="1">
        <rangePr groupBy="months" startDate="2023-01-05T00:00:00" endDate="2023-02-04T00:00:00"/>
        <groupItems count="14">
          <s v="&lt;05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-02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x v="0"/>
    <x v="0"/>
    <n v="55000"/>
    <x v="0"/>
    <n v="110000"/>
  </r>
  <r>
    <x v="1"/>
    <x v="1"/>
    <x v="1"/>
    <x v="0"/>
    <x v="1"/>
    <n v="20000"/>
    <x v="1"/>
    <n v="60000"/>
  </r>
  <r>
    <x v="2"/>
    <x v="2"/>
    <x v="2"/>
    <x v="1"/>
    <x v="2"/>
    <n v="5000"/>
    <x v="2"/>
    <n v="20000"/>
  </r>
  <r>
    <x v="3"/>
    <x v="3"/>
    <x v="3"/>
    <x v="1"/>
    <x v="3"/>
    <n v="15000"/>
    <x v="3"/>
    <n v="15000"/>
  </r>
  <r>
    <x v="4"/>
    <x v="4"/>
    <x v="4"/>
    <x v="0"/>
    <x v="4"/>
    <n v="2000"/>
    <x v="0"/>
    <n v="1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001"/>
    <x v="0"/>
    <s v="Laptop"/>
    <s v="Electronics"/>
    <n v="2"/>
    <n v="55000"/>
    <s v="North"/>
    <n v="110000"/>
  </r>
  <r>
    <n v="1002"/>
    <x v="1"/>
    <s v="Phone"/>
    <s v="Electronics"/>
    <n v="3"/>
    <n v="20000"/>
    <s v="West"/>
    <n v="60000"/>
  </r>
  <r>
    <n v="1003"/>
    <x v="2"/>
    <s v="Chair"/>
    <s v="Furniture"/>
    <n v="4"/>
    <n v="5000"/>
    <s v="South"/>
    <n v="20000"/>
  </r>
  <r>
    <n v="1004"/>
    <x v="3"/>
    <s v="Table"/>
    <s v="Furniture"/>
    <n v="1"/>
    <n v="15000"/>
    <s v="East"/>
    <n v="15000"/>
  </r>
  <r>
    <n v="1005"/>
    <x v="4"/>
    <s v="Headphones"/>
    <s v="Electronics"/>
    <n v="5"/>
    <n v="2000"/>
    <s v="North"/>
    <n v="1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C1D9EF-97F7-4F84-9DDD-2DCD011FBD7E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7:H10" firstHeaderRow="1" firstDataRow="1" firstDataCol="1"/>
  <pivotFields count="10">
    <pivotField showAll="0"/>
    <pivotField axis="axisRow" numFmtId="164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9"/>
    <field x="1"/>
  </rowFields>
  <rowItems count="3">
    <i>
      <x v="1"/>
    </i>
    <i>
      <x v="2"/>
    </i>
    <i t="grand">
      <x/>
    </i>
  </rowItems>
  <colItems count="1">
    <i/>
  </colItems>
  <dataFields count="1">
    <dataField name="Sum of Revenue" fld="7" baseField="0" baseItem="0"/>
  </dataFields>
  <chartFormats count="3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6C1D60-D072-4338-B70A-8D8F649DE459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7:E12" firstHeaderRow="1" firstDataRow="1" firstDataCol="1"/>
  <pivotFields count="10">
    <pivotField showAll="0"/>
    <pivotField numFmtId="164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dataField="1" showAll="0"/>
    <pivotField showAll="0" defaultSubtotal="0"/>
    <pivotField showAll="0" defaultSubtotal="0">
      <items count="3">
        <item x="0"/>
        <item x="1"/>
        <item x="2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CBB91-D617-49DF-8EFB-946CC6C86B2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7:B10" firstHeaderRow="1" firstDataRow="1" firstDataCol="1"/>
  <pivotFields count="10">
    <pivotField showAll="0">
      <items count="6">
        <item x="0"/>
        <item x="1"/>
        <item x="2"/>
        <item x="3"/>
        <item x="4"/>
        <item t="default"/>
      </items>
    </pivotField>
    <pivotField numFmtId="164" showAll="0">
      <items count="6">
        <item x="0"/>
        <item x="1"/>
        <item x="2"/>
        <item x="3"/>
        <item x="4"/>
        <item t="default"/>
      </items>
    </pivotField>
    <pivotField showAll="0">
      <items count="6">
        <item x="2"/>
        <item x="4"/>
        <item x="0"/>
        <item x="1"/>
        <item x="3"/>
        <item t="default"/>
      </items>
    </pivotField>
    <pivotField axis="axisRow" showAll="0" measureFilter="1" sortType="ascending">
      <items count="3">
        <item x="0"/>
        <item x="1"/>
        <item t="default"/>
      </items>
    </pivotField>
    <pivotField showAll="0">
      <items count="6">
        <item x="3"/>
        <item x="0"/>
        <item x="1"/>
        <item x="2"/>
        <item x="4"/>
        <item t="default"/>
      </items>
    </pivotField>
    <pivotField showAll="0"/>
    <pivotField showAll="0">
      <items count="5">
        <item x="3"/>
        <item x="0"/>
        <item x="2"/>
        <item x="1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Revenue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14E6E-CA2B-4481-87FC-69CFB7D04CA4}">
  <dimension ref="A1:H6"/>
  <sheetViews>
    <sheetView zoomScaleNormal="100" workbookViewId="0">
      <selection activeCell="C7" sqref="C7"/>
    </sheetView>
  </sheetViews>
  <sheetFormatPr defaultRowHeight="14.4" x14ac:dyDescent="0.3"/>
  <cols>
    <col min="1" max="1" width="9.77734375" bestFit="1" customWidth="1"/>
    <col min="2" max="2" width="16.6640625" style="2" customWidth="1"/>
    <col min="3" max="3" width="12.44140625" customWidth="1"/>
    <col min="4" max="4" width="11.109375" customWidth="1"/>
    <col min="5" max="5" width="9.5546875" bestFit="1" customWidth="1"/>
    <col min="6" max="6" width="9.88671875" customWidth="1"/>
    <col min="7" max="7" width="9.77734375" customWidth="1"/>
    <col min="8" max="8" width="11.21875" customWidth="1"/>
  </cols>
  <sheetData>
    <row r="1" spans="1:8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</v>
      </c>
    </row>
    <row r="2" spans="1:8" x14ac:dyDescent="0.3">
      <c r="A2">
        <v>1001</v>
      </c>
      <c r="B2" s="2">
        <v>44931</v>
      </c>
      <c r="C2" t="s">
        <v>7</v>
      </c>
      <c r="D2" t="s">
        <v>8</v>
      </c>
      <c r="E2">
        <v>2</v>
      </c>
      <c r="F2">
        <v>55000</v>
      </c>
      <c r="G2" t="s">
        <v>9</v>
      </c>
      <c r="H2">
        <f>E2*F2</f>
        <v>110000</v>
      </c>
    </row>
    <row r="3" spans="1:8" x14ac:dyDescent="0.3">
      <c r="A3">
        <v>1002</v>
      </c>
      <c r="B3" s="2">
        <v>44932</v>
      </c>
      <c r="C3" t="s">
        <v>10</v>
      </c>
      <c r="D3" t="s">
        <v>8</v>
      </c>
      <c r="E3">
        <v>3</v>
      </c>
      <c r="F3">
        <v>20000</v>
      </c>
      <c r="G3" t="s">
        <v>15</v>
      </c>
      <c r="H3">
        <f t="shared" ref="H3:H6" si="0">E3*F3</f>
        <v>60000</v>
      </c>
    </row>
    <row r="4" spans="1:8" x14ac:dyDescent="0.3">
      <c r="A4">
        <v>1003</v>
      </c>
      <c r="B4" s="2">
        <v>44936</v>
      </c>
      <c r="C4" t="s">
        <v>11</v>
      </c>
      <c r="D4" t="s">
        <v>14</v>
      </c>
      <c r="E4">
        <v>4</v>
      </c>
      <c r="F4">
        <v>5000</v>
      </c>
      <c r="G4" t="s">
        <v>16</v>
      </c>
      <c r="H4">
        <f t="shared" si="0"/>
        <v>20000</v>
      </c>
    </row>
    <row r="5" spans="1:8" x14ac:dyDescent="0.3">
      <c r="A5">
        <v>1004</v>
      </c>
      <c r="B5" s="2">
        <v>44958</v>
      </c>
      <c r="C5" t="s">
        <v>12</v>
      </c>
      <c r="D5" t="s">
        <v>14</v>
      </c>
      <c r="E5">
        <v>1</v>
      </c>
      <c r="F5">
        <v>15000</v>
      </c>
      <c r="G5" t="s">
        <v>17</v>
      </c>
      <c r="H5">
        <f t="shared" si="0"/>
        <v>15000</v>
      </c>
    </row>
    <row r="6" spans="1:8" x14ac:dyDescent="0.3">
      <c r="A6">
        <v>1005</v>
      </c>
      <c r="B6" s="2">
        <v>44960</v>
      </c>
      <c r="C6" t="s">
        <v>13</v>
      </c>
      <c r="D6" t="s">
        <v>8</v>
      </c>
      <c r="E6">
        <v>5</v>
      </c>
      <c r="F6">
        <v>2000</v>
      </c>
      <c r="G6" t="s">
        <v>9</v>
      </c>
      <c r="H6">
        <f t="shared" si="0"/>
        <v>10000</v>
      </c>
    </row>
  </sheetData>
  <autoFilter ref="A1:H6" xr:uid="{01D14E6E-CA2B-4481-87FC-69CFB7D04CA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8A8B-0903-4A7E-A763-97E59DE7FE77}">
  <dimension ref="A1:H6"/>
  <sheetViews>
    <sheetView workbookViewId="0">
      <selection activeCell="C15" sqref="C15"/>
    </sheetView>
  </sheetViews>
  <sheetFormatPr defaultRowHeight="14.4" x14ac:dyDescent="0.3"/>
  <cols>
    <col min="2" max="2" width="17" customWidth="1"/>
    <col min="3" max="3" width="12.5546875" customWidth="1"/>
    <col min="4" max="4" width="11.109375" customWidth="1"/>
    <col min="5" max="5" width="9.21875" customWidth="1"/>
    <col min="6" max="6" width="8.77734375" customWidth="1"/>
    <col min="7" max="7" width="10.44140625" customWidth="1"/>
    <col min="8" max="8" width="10.6640625" customWidth="1"/>
  </cols>
  <sheetData>
    <row r="1" spans="1:8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</v>
      </c>
    </row>
    <row r="2" spans="1:8" x14ac:dyDescent="0.3">
      <c r="A2">
        <v>1001</v>
      </c>
      <c r="B2" s="2">
        <v>44931</v>
      </c>
      <c r="C2" t="s">
        <v>7</v>
      </c>
      <c r="D2" t="s">
        <v>8</v>
      </c>
      <c r="E2">
        <v>2</v>
      </c>
      <c r="F2">
        <v>55000</v>
      </c>
      <c r="G2" t="s">
        <v>9</v>
      </c>
      <c r="H2">
        <f>E2*F2</f>
        <v>110000</v>
      </c>
    </row>
    <row r="3" spans="1:8" x14ac:dyDescent="0.3">
      <c r="A3">
        <v>1002</v>
      </c>
      <c r="B3" s="2">
        <v>44932</v>
      </c>
      <c r="C3" t="s">
        <v>10</v>
      </c>
      <c r="D3" t="s">
        <v>8</v>
      </c>
      <c r="E3">
        <v>3</v>
      </c>
      <c r="F3">
        <v>20000</v>
      </c>
      <c r="G3" t="s">
        <v>15</v>
      </c>
      <c r="H3">
        <f t="shared" ref="H3:H6" si="0">E3*F3</f>
        <v>60000</v>
      </c>
    </row>
    <row r="4" spans="1:8" x14ac:dyDescent="0.3">
      <c r="A4">
        <v>1003</v>
      </c>
      <c r="B4" s="2">
        <v>44936</v>
      </c>
      <c r="C4" t="s">
        <v>11</v>
      </c>
      <c r="D4" t="s">
        <v>14</v>
      </c>
      <c r="E4">
        <v>4</v>
      </c>
      <c r="F4">
        <v>5000</v>
      </c>
      <c r="G4" t="s">
        <v>16</v>
      </c>
      <c r="H4">
        <f t="shared" si="0"/>
        <v>20000</v>
      </c>
    </row>
    <row r="5" spans="1:8" x14ac:dyDescent="0.3">
      <c r="A5">
        <v>1004</v>
      </c>
      <c r="B5" s="2">
        <v>44958</v>
      </c>
      <c r="C5" t="s">
        <v>12</v>
      </c>
      <c r="D5" t="s">
        <v>14</v>
      </c>
      <c r="E5">
        <v>1</v>
      </c>
      <c r="F5">
        <v>15000</v>
      </c>
      <c r="G5" t="s">
        <v>17</v>
      </c>
      <c r="H5">
        <f t="shared" si="0"/>
        <v>15000</v>
      </c>
    </row>
    <row r="6" spans="1:8" x14ac:dyDescent="0.3">
      <c r="A6">
        <v>1005</v>
      </c>
      <c r="B6" s="2">
        <v>44960</v>
      </c>
      <c r="C6" t="s">
        <v>13</v>
      </c>
      <c r="D6" t="s">
        <v>8</v>
      </c>
      <c r="E6">
        <v>5</v>
      </c>
      <c r="F6">
        <v>2000</v>
      </c>
      <c r="G6" t="s">
        <v>9</v>
      </c>
      <c r="H6">
        <f t="shared" si="0"/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7F641-7BF5-4CE7-9B6E-2C4E155167C5}">
  <dimension ref="A4:H12"/>
  <sheetViews>
    <sheetView topLeftCell="A2" zoomScale="79" workbookViewId="0">
      <selection activeCell="A22" sqref="A22"/>
    </sheetView>
  </sheetViews>
  <sheetFormatPr defaultRowHeight="14.4" x14ac:dyDescent="0.3"/>
  <cols>
    <col min="1" max="1" width="13.5546875" bestFit="1" customWidth="1"/>
    <col min="2" max="3" width="15.44140625" bestFit="1" customWidth="1"/>
    <col min="4" max="4" width="13.5546875" bestFit="1" customWidth="1"/>
    <col min="5" max="5" width="15.44140625" bestFit="1" customWidth="1"/>
    <col min="6" max="6" width="15.109375" bestFit="1" customWidth="1"/>
    <col min="7" max="7" width="13.5546875" bestFit="1" customWidth="1"/>
    <col min="8" max="8" width="15.44140625" bestFit="1" customWidth="1"/>
    <col min="9" max="9" width="14" bestFit="1" customWidth="1"/>
    <col min="10" max="11" width="15.109375" bestFit="1" customWidth="1"/>
    <col min="12" max="14" width="14" bestFit="1" customWidth="1"/>
    <col min="15" max="16" width="15.109375" bestFit="1" customWidth="1"/>
    <col min="17" max="19" width="14" bestFit="1" customWidth="1"/>
    <col min="20" max="21" width="15.109375" bestFit="1" customWidth="1"/>
    <col min="22" max="23" width="18.5546875" bestFit="1" customWidth="1"/>
    <col min="24" max="24" width="16.21875" bestFit="1" customWidth="1"/>
    <col min="25" max="25" width="17" bestFit="1" customWidth="1"/>
  </cols>
  <sheetData>
    <row r="4" spans="1:8" ht="21" x14ac:dyDescent="0.4">
      <c r="D4" s="7" t="s">
        <v>28</v>
      </c>
    </row>
    <row r="7" spans="1:8" x14ac:dyDescent="0.3">
      <c r="A7" s="3" t="s">
        <v>19</v>
      </c>
      <c r="B7" t="s">
        <v>23</v>
      </c>
      <c r="D7" s="3" t="s">
        <v>19</v>
      </c>
      <c r="E7" t="s">
        <v>23</v>
      </c>
      <c r="G7" s="3" t="s">
        <v>19</v>
      </c>
      <c r="H7" t="s">
        <v>23</v>
      </c>
    </row>
    <row r="8" spans="1:8" x14ac:dyDescent="0.3">
      <c r="A8" s="4" t="s">
        <v>8</v>
      </c>
      <c r="B8">
        <v>180000</v>
      </c>
      <c r="D8" s="4" t="s">
        <v>17</v>
      </c>
      <c r="E8">
        <v>15000</v>
      </c>
      <c r="G8" s="4" t="s">
        <v>21</v>
      </c>
      <c r="H8">
        <v>190000</v>
      </c>
    </row>
    <row r="9" spans="1:8" x14ac:dyDescent="0.3">
      <c r="A9" s="4" t="s">
        <v>14</v>
      </c>
      <c r="B9">
        <v>35000</v>
      </c>
      <c r="D9" s="4" t="s">
        <v>9</v>
      </c>
      <c r="E9">
        <v>120000</v>
      </c>
      <c r="G9" s="4" t="s">
        <v>22</v>
      </c>
      <c r="H9">
        <v>25000</v>
      </c>
    </row>
    <row r="10" spans="1:8" x14ac:dyDescent="0.3">
      <c r="A10" s="4" t="s">
        <v>20</v>
      </c>
      <c r="B10">
        <v>215000</v>
      </c>
      <c r="D10" s="4" t="s">
        <v>16</v>
      </c>
      <c r="E10">
        <v>20000</v>
      </c>
      <c r="G10" s="4" t="s">
        <v>20</v>
      </c>
      <c r="H10">
        <v>215000</v>
      </c>
    </row>
    <row r="11" spans="1:8" x14ac:dyDescent="0.3">
      <c r="D11" s="4" t="s">
        <v>15</v>
      </c>
      <c r="E11">
        <v>60000</v>
      </c>
    </row>
    <row r="12" spans="1:8" x14ac:dyDescent="0.3">
      <c r="D12" s="4" t="s">
        <v>20</v>
      </c>
      <c r="E12">
        <v>215000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43DA9-71BD-4A5C-A942-97C7ABF9F3B3}">
  <dimension ref="C1:V4"/>
  <sheetViews>
    <sheetView tabSelected="1" topLeftCell="P9" zoomScale="92" workbookViewId="0">
      <selection activeCell="R9" sqref="R9"/>
    </sheetView>
  </sheetViews>
  <sheetFormatPr defaultRowHeight="14.4" x14ac:dyDescent="0.3"/>
  <cols>
    <col min="3" max="3" width="16.44140625" bestFit="1" customWidth="1"/>
    <col min="4" max="4" width="10" customWidth="1"/>
    <col min="6" max="6" width="12.77734375" bestFit="1" customWidth="1"/>
  </cols>
  <sheetData>
    <row r="1" spans="3:22" ht="18" x14ac:dyDescent="0.35">
      <c r="L1" s="6" t="s">
        <v>24</v>
      </c>
    </row>
    <row r="2" spans="3:22" x14ac:dyDescent="0.3">
      <c r="D2" s="5"/>
      <c r="F2" s="5"/>
    </row>
    <row r="4" spans="3:22" x14ac:dyDescent="0.3">
      <c r="C4" t="s">
        <v>26</v>
      </c>
      <c r="L4" s="5" t="s">
        <v>25</v>
      </c>
      <c r="V4" s="5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Cleaned_data</vt:lpstr>
      <vt:lpstr>Pivot_analysis</vt:lpstr>
      <vt:lpstr>Dashboard_data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Kashish Jawade</dc:creator>
  <cp:lastModifiedBy>Kashish Jawade</cp:lastModifiedBy>
  <dcterms:created xsi:type="dcterms:W3CDTF">2026-01-17T18:44:46Z</dcterms:created>
  <dcterms:modified xsi:type="dcterms:W3CDTF">2026-01-20T22:30:13Z</dcterms:modified>
</cp:coreProperties>
</file>